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harr/luci-digital/"/>
    </mc:Choice>
  </mc:AlternateContent>
  <xr:revisionPtr revIDLastSave="0" documentId="13_ncr:1_{54F1E0DF-97C4-4845-9D88-69CDC9847B60}" xr6:coauthVersionLast="47" xr6:coauthVersionMax="47" xr10:uidLastSave="{00000000-0000-0000-0000-000000000000}"/>
  <bookViews>
    <workbookView xWindow="19640" yWindow="3300" windowWidth="46840" windowHeight="27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 s="1"/>
  <c r="F22" i="1" s="1"/>
  <c r="D8" i="1"/>
  <c r="E8" i="1"/>
  <c r="F8" i="1"/>
  <c r="F10" i="1"/>
  <c r="D3" i="1"/>
  <c r="F20" i="1"/>
  <c r="D7" i="1"/>
  <c r="E7" i="1" s="1"/>
  <c r="F7" i="1" s="1"/>
  <c r="D6" i="1"/>
  <c r="E6" i="1" s="1"/>
  <c r="D5" i="1"/>
  <c r="E5" i="1" s="1"/>
  <c r="F5" i="1" s="1"/>
  <c r="D4" i="1"/>
  <c r="E4" i="1" s="1"/>
  <c r="F4" i="1" s="1"/>
  <c r="E17" i="1"/>
  <c r="F17" i="1" s="1"/>
  <c r="D10" i="1"/>
  <c r="E16" i="1"/>
  <c r="F16" i="1" s="1"/>
  <c r="E12" i="1"/>
  <c r="F12" i="1" s="1"/>
  <c r="E3" i="1" l="1"/>
  <c r="F3" i="1" s="1"/>
  <c r="F6" i="1"/>
  <c r="E22" i="1"/>
  <c r="E10" i="1"/>
</calcChain>
</file>

<file path=xl/sharedStrings.xml><?xml version="1.0" encoding="utf-8"?>
<sst xmlns="http://schemas.openxmlformats.org/spreadsheetml/2006/main" count="36" uniqueCount="31">
  <si>
    <t>Invoice Number</t>
  </si>
  <si>
    <t>Invoice Date</t>
  </si>
  <si>
    <t>Due Date</t>
  </si>
  <si>
    <t>Total Due</t>
  </si>
  <si>
    <t>Subtotal (Current Charges)</t>
  </si>
  <si>
    <t>Federal Tax</t>
  </si>
  <si>
    <t>USD</t>
  </si>
  <si>
    <t>CAD</t>
  </si>
  <si>
    <t>Short Description</t>
  </si>
  <si>
    <t>Expiry</t>
  </si>
  <si>
    <t>Total</t>
  </si>
  <si>
    <t>W1584695051</t>
  </si>
  <si>
    <t>Account administration credit</t>
  </si>
  <si>
    <t>GST</t>
  </si>
  <si>
    <t>TOTAL</t>
  </si>
  <si>
    <t>Sub total</t>
  </si>
  <si>
    <t>G069519368</t>
  </si>
  <si>
    <t>G066477744</t>
  </si>
  <si>
    <t>G061978995</t>
  </si>
  <si>
    <t>G059265797</t>
  </si>
  <si>
    <t>partnership share of ACN website (2/3)</t>
  </si>
  <si>
    <t>partnership share of pearson testing (2/3)</t>
  </si>
  <si>
    <t>partnership ACN membership (2/3 of total)</t>
  </si>
  <si>
    <t>partnership insurance (2/3 of total)</t>
  </si>
  <si>
    <t>LD-20241105-WW003</t>
  </si>
  <si>
    <t>LD-20250110-WW003</t>
  </si>
  <si>
    <t>Warren Wrigglesworth SRO R2118177</t>
  </si>
  <si>
    <t>‎0071-9481-6195</t>
  </si>
  <si>
    <t>DUE JAN 10,2025</t>
  </si>
  <si>
    <t>G073325296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</si>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</sst>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E0E0E"/>
      <name val="System Font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0" borderId="3" xfId="0" applyBorder="1"/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8" fontId="1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0" fontId="1" fillId="0" borderId="3" xfId="0" applyFont="1" applyBorder="1"/>
    <xf numFmtId="8" fontId="1" fillId="0" borderId="3" xfId="0" applyNumberFormat="1" applyFont="1" applyBorder="1"/>
    <xf numFmtId="0" fontId="1" fillId="0" borderId="4" xfId="0" applyFont="1" applyBorder="1"/>
    <xf numFmtId="0" fontId="0" fillId="0" borderId="4" xfId="0" applyBorder="1"/>
    <xf numFmtId="8" fontId="1" fillId="0" borderId="4" xfId="0" applyNumberFormat="1" applyFont="1" applyBorder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320707</xdr:colOff>
      <xdr:row>42</xdr:row>
      <xdr:rowOff>179597</xdr:rowOff>
    </xdr:from>
    <xdr:to>
      <xdr:col>29</xdr:col>
      <xdr:colOff>88258</xdr:colOff>
      <xdr:row>64</xdr:row>
      <xdr:rowOff>69649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3F2A74-A144-0CFD-F6C4-AF0E194CE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95151" y="8287072"/>
          <a:ext cx="7772400" cy="4123385"/>
        </a:xfrm>
        <a:prstGeom prst="rect">
          <a:avLst/>
        </a:prstGeom>
      </xdr:spPr>
    </xdr:pic>
    <xdr:clientData/>
  </xdr:twoCellAnchor>
  <xdr:twoCellAnchor editAs="oneCell">
    <xdr:from>
      <xdr:col>14</xdr:col>
      <xdr:colOff>113917</xdr:colOff>
      <xdr:row>35</xdr:row>
      <xdr:rowOff>49775</xdr:rowOff>
    </xdr:from>
    <xdr:to>
      <xdr:col>25</xdr:col>
      <xdr:colOff>548539</xdr:colOff>
      <xdr:row>56</xdr:row>
      <xdr:rowOff>132251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F64333-FCFF-DC0D-A099-F95FF64F4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97654" y="9311795"/>
          <a:ext cx="7772400" cy="412338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23</xdr:col>
      <xdr:colOff>434622</xdr:colOff>
      <xdr:row>25</xdr:row>
      <xdr:rowOff>1233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A9AF45-0056-E540-D82C-425DF227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9596" y="1731818"/>
          <a:ext cx="7772400" cy="4260223"/>
        </a:xfrm>
        <a:prstGeom prst="rect">
          <a:avLst/>
        </a:prstGeom>
      </xdr:spPr>
    </xdr:pic>
    <xdr:clientData/>
  </xdr:twoCellAnchor>
  <xdr:twoCellAnchor editAs="oneCell">
    <xdr:from>
      <xdr:col>17</xdr:col>
      <xdr:colOff>602929</xdr:colOff>
      <xdr:row>13</xdr:row>
      <xdr:rowOff>51314</xdr:rowOff>
    </xdr:from>
    <xdr:to>
      <xdr:col>37</xdr:col>
      <xdr:colOff>202476</xdr:colOff>
      <xdr:row>39</xdr:row>
      <xdr:rowOff>65348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05727-3DFE-C1D1-7227-7F8E2596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87878" y="2552829"/>
          <a:ext cx="12940962" cy="5042721"/>
        </a:xfrm>
        <a:prstGeom prst="rect">
          <a:avLst/>
        </a:prstGeom>
      </xdr:spPr>
    </xdr:pic>
    <xdr:clientData/>
  </xdr:twoCellAnchor>
  <xdr:twoCellAnchor editAs="oneCell">
    <xdr:from>
      <xdr:col>10</xdr:col>
      <xdr:colOff>372019</xdr:colOff>
      <xdr:row>15</xdr:row>
      <xdr:rowOff>76969</xdr:rowOff>
    </xdr:from>
    <xdr:to>
      <xdr:col>28</xdr:col>
      <xdr:colOff>662477</xdr:colOff>
      <xdr:row>41</xdr:row>
      <xdr:rowOff>33442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3A6B9-2592-69CD-F1AE-47516C7D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6968" y="2963333"/>
          <a:ext cx="12297731" cy="4985160"/>
        </a:xfrm>
        <a:prstGeom prst="rect">
          <a:avLst/>
        </a:prstGeom>
      </xdr:spPr>
    </xdr:pic>
    <xdr:clientData/>
  </xdr:twoCellAnchor>
  <xdr:twoCellAnchor editAs="oneCell">
    <xdr:from>
      <xdr:col>23</xdr:col>
      <xdr:colOff>76970</xdr:colOff>
      <xdr:row>28</xdr:row>
      <xdr:rowOff>89797</xdr:rowOff>
    </xdr:from>
    <xdr:to>
      <xdr:col>41</xdr:col>
      <xdr:colOff>557304</xdr:colOff>
      <xdr:row>54</xdr:row>
      <xdr:rowOff>148896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23131F-0422-1CE3-74BA-E90CE8C16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153839" y="5503332"/>
          <a:ext cx="12487606" cy="50621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192423</xdr:rowOff>
    </xdr:from>
    <xdr:to>
      <xdr:col>13</xdr:col>
      <xdr:colOff>355057</xdr:colOff>
      <xdr:row>55</xdr:row>
      <xdr:rowOff>153938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1DF802-30BA-8C29-C97A-FE99805F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14343" y="5798383"/>
          <a:ext cx="12246876" cy="4964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99" workbookViewId="0">
      <selection activeCell="C31" sqref="C31"/>
    </sheetView>
  </sheetViews>
  <sheetFormatPr baseColWidth="10" defaultColWidth="8.83203125" defaultRowHeight="15" x14ac:dyDescent="0.2"/>
  <cols>
    <col min="1" max="1" width="18" bestFit="1" customWidth="1"/>
    <col min="2" max="3" width="15" customWidth="1"/>
    <col min="4" max="4" width="21.6640625" bestFit="1" customWidth="1"/>
    <col min="5" max="5" width="9.83203125" bestFit="1" customWidth="1"/>
    <col min="6" max="6" width="11.1640625" bestFit="1" customWidth="1"/>
    <col min="7" max="7" width="45.6640625" bestFit="1" customWidth="1"/>
    <col min="8" max="8" width="9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4</v>
      </c>
      <c r="E1" s="2" t="s">
        <v>5</v>
      </c>
      <c r="F1" s="2" t="s">
        <v>3</v>
      </c>
      <c r="G1" s="1" t="s">
        <v>8</v>
      </c>
      <c r="H1" s="5" t="s">
        <v>9</v>
      </c>
    </row>
    <row r="2" spans="1:8" x14ac:dyDescent="0.2">
      <c r="A2" s="10"/>
      <c r="B2" s="10"/>
      <c r="C2" s="10"/>
      <c r="D2" s="11" t="s">
        <v>7</v>
      </c>
      <c r="E2" s="11" t="s">
        <v>13</v>
      </c>
      <c r="F2" s="11" t="s">
        <v>14</v>
      </c>
      <c r="G2" s="10"/>
      <c r="H2" s="11"/>
    </row>
    <row r="3" spans="1:8" x14ac:dyDescent="0.2">
      <c r="A3" t="s">
        <v>29</v>
      </c>
      <c r="B3" s="12">
        <v>45666</v>
      </c>
      <c r="C3" s="12">
        <v>45666</v>
      </c>
      <c r="D3" s="3">
        <f>109.5*0.67</f>
        <v>73.365000000000009</v>
      </c>
      <c r="E3" s="3">
        <f>D3*0.05</f>
        <v>3.6682500000000005</v>
      </c>
      <c r="F3" s="3">
        <f>SUM(D3:E3)</f>
        <v>77.03325000000001</v>
      </c>
      <c r="G3" s="13" t="s">
        <v>20</v>
      </c>
    </row>
    <row r="4" spans="1:8" x14ac:dyDescent="0.2">
      <c r="A4" t="s">
        <v>16</v>
      </c>
      <c r="B4" s="12">
        <v>45635</v>
      </c>
      <c r="C4" s="12">
        <v>45635</v>
      </c>
      <c r="D4" s="3">
        <f>104.72*0.67</f>
        <v>70.162400000000005</v>
      </c>
      <c r="E4" s="3">
        <f>D4*0.05</f>
        <v>3.5081200000000003</v>
      </c>
      <c r="F4" s="3">
        <f>SUM(D4:E4)</f>
        <v>73.67052000000001</v>
      </c>
      <c r="G4" s="13" t="s">
        <v>20</v>
      </c>
    </row>
    <row r="5" spans="1:8" x14ac:dyDescent="0.2">
      <c r="A5" t="s">
        <v>17</v>
      </c>
      <c r="B5" s="12">
        <v>45605</v>
      </c>
      <c r="C5" s="12">
        <v>45605</v>
      </c>
      <c r="D5" s="3">
        <f>104.06*0.67</f>
        <v>69.720200000000006</v>
      </c>
      <c r="E5" s="3">
        <f t="shared" ref="E5:E7" si="0">D5*0.05</f>
        <v>3.4860100000000003</v>
      </c>
      <c r="F5" s="3">
        <f t="shared" ref="F5:F7" si="1">SUM(D5:E5)</f>
        <v>73.206209999999999</v>
      </c>
      <c r="G5" s="13" t="s">
        <v>20</v>
      </c>
    </row>
    <row r="6" spans="1:8" x14ac:dyDescent="0.2">
      <c r="A6" t="s">
        <v>18</v>
      </c>
      <c r="B6" s="12">
        <v>45574</v>
      </c>
      <c r="C6" s="12">
        <v>45574</v>
      </c>
      <c r="D6" s="3">
        <f>99.75*0.67</f>
        <v>66.83250000000001</v>
      </c>
      <c r="E6" s="3">
        <f t="shared" si="0"/>
        <v>3.3416250000000005</v>
      </c>
      <c r="F6" s="3">
        <f t="shared" si="1"/>
        <v>70.174125000000004</v>
      </c>
      <c r="G6" s="13" t="s">
        <v>20</v>
      </c>
    </row>
    <row r="7" spans="1:8" x14ac:dyDescent="0.2">
      <c r="A7" t="s">
        <v>19</v>
      </c>
      <c r="B7" s="12">
        <v>45544</v>
      </c>
      <c r="C7" s="12">
        <v>45544</v>
      </c>
      <c r="D7" s="3">
        <f>39.56*0.67</f>
        <v>26.505200000000002</v>
      </c>
      <c r="E7" s="3">
        <f t="shared" si="0"/>
        <v>1.3252600000000001</v>
      </c>
      <c r="F7" s="3">
        <f t="shared" si="1"/>
        <v>27.830460000000002</v>
      </c>
      <c r="G7" s="13" t="s">
        <v>20</v>
      </c>
    </row>
    <row r="8" spans="1:8" x14ac:dyDescent="0.2">
      <c r="B8" s="13"/>
      <c r="C8" s="13"/>
      <c r="D8" s="3">
        <f>SUM(D3:D7)</f>
        <v>306.58530000000002</v>
      </c>
      <c r="E8" s="3">
        <f>SUM(E3:E7)</f>
        <v>15.329265000000001</v>
      </c>
      <c r="F8" s="14">
        <f>SUM(F3:F7)</f>
        <v>321.91456500000004</v>
      </c>
    </row>
    <row r="10" spans="1:8" x14ac:dyDescent="0.2">
      <c r="A10" s="18" t="s">
        <v>15</v>
      </c>
      <c r="B10" s="18"/>
      <c r="C10" s="18"/>
      <c r="D10" s="20">
        <f>SUM(D4:D7)</f>
        <v>233.22030000000004</v>
      </c>
      <c r="E10" s="20">
        <f>SUM(E3:E7)</f>
        <v>15.329265000000001</v>
      </c>
      <c r="F10" s="20">
        <f>F8</f>
        <v>321.91456500000004</v>
      </c>
      <c r="G10" s="18"/>
      <c r="H10" s="19"/>
    </row>
    <row r="12" spans="1:8" x14ac:dyDescent="0.2">
      <c r="A12" t="s">
        <v>11</v>
      </c>
      <c r="B12" s="6">
        <v>45597</v>
      </c>
      <c r="D12" s="3">
        <v>734</v>
      </c>
      <c r="E12" s="4">
        <f>D12*0.05</f>
        <v>36.700000000000003</v>
      </c>
      <c r="F12" s="3">
        <f>SUM(D12:E12)</f>
        <v>770.7</v>
      </c>
      <c r="G12" t="s">
        <v>22</v>
      </c>
    </row>
    <row r="13" spans="1:8" x14ac:dyDescent="0.2">
      <c r="A13" s="13">
        <v>440151</v>
      </c>
      <c r="B13" s="6">
        <v>45597</v>
      </c>
      <c r="D13" s="3">
        <f>2914*0.67</f>
        <v>1952.38</v>
      </c>
      <c r="E13" s="4" t="s">
        <v>30</v>
      </c>
      <c r="F13" s="3">
        <f>SUM(D13:E13)</f>
        <v>1952.38</v>
      </c>
      <c r="G13" t="s">
        <v>23</v>
      </c>
    </row>
    <row r="16" spans="1:8" x14ac:dyDescent="0.2">
      <c r="A16" s="7" t="s">
        <v>24</v>
      </c>
      <c r="B16" s="6">
        <v>45609</v>
      </c>
      <c r="D16" s="15">
        <v>-120</v>
      </c>
      <c r="E16" s="9">
        <f>D16*0.05</f>
        <v>-6</v>
      </c>
      <c r="F16" s="21">
        <f>SUM(D16:E16)</f>
        <v>-126</v>
      </c>
      <c r="G16" t="s">
        <v>12</v>
      </c>
    </row>
    <row r="17" spans="1:8" x14ac:dyDescent="0.2">
      <c r="A17" s="7" t="s">
        <v>25</v>
      </c>
      <c r="B17" s="6">
        <v>45667</v>
      </c>
      <c r="D17" s="15">
        <v>120</v>
      </c>
      <c r="E17" s="9">
        <f>D17*0.05</f>
        <v>6</v>
      </c>
      <c r="F17" s="21">
        <f>SUM(D17:E17)</f>
        <v>126</v>
      </c>
      <c r="G17" t="s">
        <v>26</v>
      </c>
    </row>
    <row r="18" spans="1:8" x14ac:dyDescent="0.2">
      <c r="A18" s="7"/>
      <c r="B18" s="6"/>
      <c r="D18" s="15"/>
      <c r="E18" s="9"/>
      <c r="F18" s="21"/>
    </row>
    <row r="19" spans="1:8" x14ac:dyDescent="0.2">
      <c r="D19" s="4" t="s">
        <v>6</v>
      </c>
      <c r="F19" s="4" t="s">
        <v>7</v>
      </c>
    </row>
    <row r="20" spans="1:8" x14ac:dyDescent="0.2">
      <c r="A20" t="s">
        <v>27</v>
      </c>
      <c r="B20" s="6">
        <v>45457</v>
      </c>
      <c r="D20" s="4">
        <v>156.44999999999999</v>
      </c>
      <c r="F20" s="21">
        <f>(D20*1.45)*0.67</f>
        <v>151.991175</v>
      </c>
      <c r="G20" s="13" t="s">
        <v>21</v>
      </c>
    </row>
    <row r="22" spans="1:8" ht="16" thickBot="1" x14ac:dyDescent="0.25">
      <c r="A22" s="16" t="s">
        <v>10</v>
      </c>
      <c r="B22" s="16"/>
      <c r="C22" s="16"/>
      <c r="D22" s="16"/>
      <c r="E22" s="17">
        <f>SUM(E8,E12,E13,E16,E17)</f>
        <v>52.029265000000002</v>
      </c>
      <c r="F22" s="17">
        <f>SUM(F10,F12,F13,F16,F17,F20)</f>
        <v>3196.9857400000001</v>
      </c>
      <c r="G22" s="16" t="s">
        <v>28</v>
      </c>
      <c r="H22" s="8"/>
    </row>
    <row r="23" spans="1:8" ht="16" thickTop="1" x14ac:dyDescent="0.2"/>
  </sheetData>
  <phoneticPr fontId="4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Daryl Harr</cp:lastModifiedBy>
  <dcterms:created xsi:type="dcterms:W3CDTF">2024-11-06T11:32:36Z</dcterms:created>
  <dcterms:modified xsi:type="dcterms:W3CDTF">2025-01-14T15:05:06Z</dcterms:modified>
</cp:coreProperties>
</file>